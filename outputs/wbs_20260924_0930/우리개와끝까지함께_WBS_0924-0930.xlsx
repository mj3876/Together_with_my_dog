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90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840\mjuser\Together_with_my_dog\outputs\wbs_20260924_0930\"/>
    </mc:Choice>
  </mc:AlternateContent>
  <x:bookViews>
    <x:workbookView xWindow="0" yWindow="0" windowWidth="25380" windowHeight="11100" tabRatio="500"/>
  </x:bookViews>
  <x:sheets>
    <x:sheet name="상세 WBS" sheetId="1" r:id="rId4"/>
    <x:sheet name="일별 역할 배분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<x:sst xmlns:r="http://schemas.openxmlformats.org/officeDocument/2006/relationships" xmlns:c="http://schemas.openxmlformats.org/drawingml/2006/chart" xmlns:x="http://schemas.openxmlformats.org/spreadsheetml/2006/main" count="286" uniqueCount="207">
  <x:si>
    <x:t>한국천문연구원 2026년 월력요항: https://www.kasi.re.kr/kor/post/newsMaterial/32031</x:t>
  </x:si>
  <x:si>
    <x:t>9/24~27 연휴·주말의 업체 회신 지연에 대비한다. 공개 자료로 우선 진행하고 회신 미확보 항목은 제외·미확인 처리한다.</x:t>
  </x:si>
  <x:si>
    <x:t>9/26 평가 버전 고정 → 기술평가 → 9/27 외부 과제 → 수정·회귀 → 최종 시연·버전 고정. 첫 평가 결과를 보존한다.</x:t>
  </x:si>
  <x:si>
    <x:t>https://app.notion.com/p/3da4a247b914813ca624e93797e6f346</x:t>
  </x:si>
  <x:si>
    <x:t>https://app.notion.com/p/3e04a247b914812b8349e7052dd002b4</x:t>
  </x:si>
  <x:si>
    <x:t>4.2 후 최종 실행본과 성공·불가/정보 부족 사례 화면·영상 확보</x:t>
  </x:si>
  <x:si>
    <x:t>분석 결과표, 선정/제외 이유, 기간·비교단위·API 등록 편차 한계</x:t>
  </x:si>
  <x:si>
    <x:t>오전 고정 버전으로 일반 검색/서비스 완성 여부·시간·오류·도움 기록</x:t>
  </x:si>
  <x:si>
    <x:t>평가 중 버전 유지. 평가 후 수정본의 입력·코스·경로·저장 재검증</x:t>
  </x:si>
  <x:si>
    <x:t>비교 도구·시간 한도·완료 기준 통일, 9/27 참여 일정 재확인</x:t>
  </x:si>
  <x:si>
    <x:t>개발용 약 10건과 최종 평가 약 30건 분리. 비교 과제·기록지 잠금</x:t>
  </x:si>
  <x:si>
    <x:t>일수별 구성, 출발/종료 포함 경로, 최종 코스 1개, 후보 부족 처리</x:t>
  </x:si>
  <x:si>
    <x:t>9/27 확정 화면/영상으로 서비스 흐름·구현 내용·기능별 증빙 설명</x:t>
  </x:si>
  <x:si>
    <x:t>당일 종료 전 버전·실행 안내·영상·평가 원자료 백업. 개발 완료</x:t>
  </x:si>
  <x:si>
    <x:t>공식 출처·확인일·객실/공간/프로그램별 규정. A에게 적재본 전달</x:t>
  </x:si>
  <x:si>
    <x:t>9/27 확정 원자료로 측정 방법·결과·오류·한계 작성. 기대효과 분리</x:t>
  </x:si>
  <x:si>
    <x:t>메모·증빙 위치</x:t>
  </x:si>
  <x:si>
    <x:t>A — 개발 담당</x:t>
  </x:si>
  <x:si>
    <x:t>당일 완료 기준</x:t>
  </x:si>
  <x:si>
    <x:t>완료 기준·산출물</x:t>
  </x:si>
  <x:si>
    <x:t>B 주도·공동 서명</x:t>
  </x:si>
  <x:si>
    <x:t>비교 지역·기간·행정단위·지표 확정, 보완자료 목록</x:t>
  </x:si>
  <x:si>
    <x:t>실제 모드 실행 확인, 연결 오류와 필요한 설정 목록</x:t>
  </x:si>
  <x:si>
    <x:t>제출 목표 9/30 11시 · 공식 마감 14시(KST)</x:t>
  </x:si>
  <x:si>
    <x:t>첫 기술평가 결과 보존, 다음 날 사용자 평가 준비</x:t>
  </x:si>
  <x:si>
    <x:t>고정 기술평가, 사용자 과제 리허설·참여 일정 확인</x:t>
  </x:si>
  <x:si>
    <x:t>전체 통합·평가 환경 고정, 첫 기술평가 오류 수정</x:t>
  </x:si>
  <x:si>
    <x:t>지역 선정·데이터 활용·성과검증 보고서, 본문 초안</x:t>
  </x:si>
  <x:si>
    <x:t>요일</x:t>
  </x:si>
  <x:si>
    <x:t>7.3</x:t>
  </x:si>
  <x:si>
    <x:t>6.5</x:t>
  </x:si>
  <x:si>
    <x:t>7.4</x:t>
  </x:si>
  <x:si>
    <x:t>화</x:t>
  </x:si>
  <x:si>
    <x:t>목</x:t>
  </x:si>
  <x:si>
    <x:t>일</x:t>
  </x:si>
  <x:si>
    <x:t>7.1</x:t>
  </x:si>
  <x:si>
    <x:t>7.2</x:t>
  </x:si>
  <x:si>
    <x:t>증빙</x:t>
  </x:si>
  <x:si>
    <x:t>백업</x:t>
  </x:si>
  <x:si>
    <x:t>제출</x:t>
  </x:si>
  <x:si>
    <x:t>수</x:t>
  </x:si>
  <x:si>
    <x:t>금</x:t>
  </x:si>
  <x:si>
    <x:t>날짜</x:t>
  </x:si>
  <x:si>
    <x:t>토</x:t>
  </x:si>
  <x:si>
    <x:t>월</x:t>
  </x:si>
  <x:si>
    <x:t>A</x:t>
  </x:si>
  <x:si>
    <x:t>상태</x:t>
  </x:si>
  <x:si>
    <x:t>착수</x:t>
  </x:si>
  <x:si>
    <x:t>B</x:t>
  </x:si>
  <x:si>
    <x:t>마감일</x:t>
  </x:si>
  <x:si>
    <x:t>5.4</x:t>
  </x:si>
  <x:si>
    <x:t>서류</x:t>
  </x:si>
  <x:si>
    <x:t>작업</x:t>
  </x:si>
  <x:si>
    <x:t>1.2</x:t>
  </x:si>
  <x:si>
    <x:t>6.1</x:t>
  </x:si>
  <x:si>
    <x:t>데이터</x:t>
  </x:si>
  <x:si>
    <x:t>담당</x:t>
  </x:si>
  <x:si>
    <x:t>6.4</x:t>
  </x:si>
  <x:si>
    <x:t>1.1</x:t>
  </x:si>
  <x:si>
    <x:t>1.4</x:t>
  </x:si>
  <x:si>
    <x:t>5.1</x:t>
  </x:si>
  <x:si>
    <x:t>개발</x:t>
  </x:si>
  <x:si>
    <x:t>1.6</x:t>
  </x:si>
  <x:si>
    <x:t>6.3</x:t>
  </x:si>
  <x:si>
    <x:t>5.2</x:t>
  </x:si>
  <x:si>
    <x:t>공동</x:t>
  </x:si>
  <x:si>
    <x:t>5.3</x:t>
  </x:si>
  <x:si>
    <x:t>분류</x:t>
  </x:si>
  <x:si>
    <x:t>시연</x:t>
  </x:si>
  <x:si>
    <x:t>완료율</x:t>
  </x:si>
  <x:si>
    <x:t>WBS</x:t>
  </x:si>
  <x:si>
    <x:t>미착수</x:t>
  </x:si>
  <x:si>
    <x:t>4.4</x:t>
  </x:si>
  <x:si>
    <x:t>1.3</x:t>
  </x:si>
  <x:si>
    <x:t>4.5</x:t>
  </x:si>
  <x:si>
    <x:t>6.2</x:t>
  </x:si>
  <x:si>
    <x:t>1.5</x:t>
  </x:si>
  <x:si>
    <x:t>안정화</x:t>
  </x:si>
  <x:si>
    <x:t>2.4</x:t>
  </x:si>
  <x:si>
    <x:t>배포</x:t>
  </x:si>
  <x:si>
    <x:t>4.1</x:t>
  </x:si>
  <x:si>
    <x:t>4.3</x:t>
  </x:si>
  <x:si>
    <x:t>2.1</x:t>
  </x:si>
  <x:si>
    <x:t>4.2</x:t>
  </x:si>
  <x:si>
    <x:t>3.5</x:t>
  </x:si>
  <x:si>
    <x:t>3.3</x:t>
  </x:si>
  <x:si>
    <x:t>2.2</x:t>
  </x:si>
  <x:si>
    <x:t>2.3</x:t>
  </x:si>
  <x:si>
    <x:t>2.5</x:t>
  </x:si>
  <x:si>
    <x:t>3.4</x:t>
  </x:si>
  <x:si>
    <x:t>3.1</x:t>
  </x:si>
  <x:si>
    <x:t>3.2</x:t>
  </x:si>
  <x:si>
    <x:t>분석</x:t>
  </x:si>
  <x:si>
    <x:t>개별 체중·마릿수·경계값·규정 누락 처리</x:t>
  </x:si>
  <x:si>
    <x:t>지역 비교 결과·대전 선정 근거 확정</x:t>
  </x:si>
  <x:si>
    <x:t>실제 데이터·지도·경로 API 연결 점검</x:t>
  </x:si>
  <x:si>
    <x:t>공모 양식·신청 항목·파일 규격 확인</x:t>
  </x:si>
  <x:si>
    <x:t>우리 개와 끝까지 함께 — 2인 WBS</x:t>
  </x:si>
  <x:si>
    <x:t>앱 점검, 실제 데이터·API 연결 확인</x:t>
  </x:si>
  <x:si>
    <x:t>제출자료: 9/28(월)~9/29(화)</x:t>
  </x:si>
  <x:si>
    <x:t>조건 판정, 코스 생성·경로 계산 완성</x:t>
  </x:si>
  <x:si>
    <x:t>활용사례 본문과 증빙 설명 초안 완성</x:t>
  </x:si>
  <x:si>
    <x:t>결과·장소 변경·저장·문의 기능 통합</x:t>
  </x:si>
  <x:si>
    <x:t>앱·데이터·시연·성과 원자료 최종 고정</x:t>
  </x:si>
  <x:si>
    <x:t>지역 선정·데이터 활용 설명자료 작성</x:t>
  </x:si>
  <x:si>
    <x:t>공식 마감 14시 전 접수 완료 확인</x:t>
  </x:si>
  <x:si>
    <x:t>증빙 ZIP·백업 정리, 최종 교차 검수</x:t>
  </x:si>
  <x:si>
    <x:t>장소 조사 목록·외부 평가 일정 확보</x:t>
  </x:si>
  <x:si>
    <x:t>당일·숙박 코스와 이동시간 계산 완성</x:t>
  </x:si>
  <x:si>
    <x:t>실제 데이터 검토본과 핵심 추천 기능 준비</x:t>
  </x:si>
  <x:si>
    <x:t>제출 PDF·참고자료 ZIP 최종 완료</x:t>
  </x:si>
  <x:si>
    <x:t>서식4 편집, 신청서류·서명·PDF 완성</x:t>
  </x:si>
  <x:si>
    <x:t>서식1-1·2·3의 인적사항 확인, 대표·공동참가자 본인 서명</x:t>
  </x:si>
  <x:si>
    <x:t>서식4의 문제·데이터 활용·적용·성과 초안과 증빙 파일 연결</x:t>
  </x:si>
  <x:si>
    <x:t>분자·분모·참여자·버전 명시. 첫 평가와 수정 후 결과 구분</x:t>
  </x:si>
  <x:si>
    <x:t>3.3 결과 전달 후 수정. 첫 결과와 수정 이력 분리 보존</x:t>
  </x:si>
  <x:si>
    <x:t>기존 대전 앱 기준의 필수/제외 기능 목록, A/B 담당 확정</x:t>
  </x:si>
  <x:si>
    <x:t>서식1-1·2·3·4 PDF, 글자·쪽수·서명·필수 항목 확인</x:t>
  </x:si>
  <x:si>
    <x:t>제목·대표·팀원·첨부 확인, 필요한 조치를 14:00 전 완료</x:t>
  </x:si>
  <x:si>
    <x:t>지역 분석 기준·장소 조사·외부 평가 일정·공모 규격 확인</x:t>
  </x:si>
  <x:si>
    <x:t>3.2 완료 후 사례별 입력·정답·결과·오류·실행 버전 저장</x:t>
  </x:si>
  <x:si>
    <x:t>오전 최종 점검. 신규 기능·새 성과 측정은 배정하지 않음</x:t>
  </x:si>
  <x:si>
    <x:t>오전 통합 후 평가용 접속/실행 확인, 코드·데이터 버전 기록</x:t>
  </x:si>
  <x:si>
    <x:t>원자료→정제→분석→대전 선정→서비스 적용, 도표·출처·한계 정리</x:t>
  </x:si>
  <x:si>
    <x:t>9/27까지 앱 안정화·시연 제작·성과 측정 종료. 9/28~29는 확정 자료로 제출물을 제작한다.</x:t>
  </x:si>
  <x:si>
    <x:t>제출 당시 파일·앱 버전·접수 확인 자료 보관</x:t>
  </x:si>
  <x:si>
    <x:t>11시까지 온라인 제출, 접수 확인·오류 대응</x:t>
  </x:si>
  <x:si>
    <x:t>오류 수정·회귀 점검, 최종 앱 안정화·시연 제작</x:t>
  </x:si>
  <x:si>
    <x:t>실제 장소 규정·지역 선정 근거·평가 정답 확정</x:t>
  </x:si>
  <x:si>
    <x:t>외부 과제 진행, 성과 수치·한계·원자료 확정</x:t>
  </x:si>
  <x:si>
    <x:t>구현 구조·기능·시연 설명자료, 본문 통합 검토</x:t>
  </x:si>
  <x:si>
    <x:t>입력→추천→상세→저장 흐름별 수정 목록과 우선순위</x:t>
  </x:si>
  <x:si>
    <x:t>상세 WBS의 노란 칸에 상태·실제 완료일·메모를 입력한다. 모든 상태는 계획 기준 미착수이며, 완료 수와 완료율은 자동 집계된다.</x:t>
  </x:si>
  <x:si>
    <x:t>필수: 서식1-1·2·3·4 PDF. 서식1-1·2·3은 두 참가자 서명. 서식4는 2~3쪽·함초롱바탕 11pt·줄간격 160. 참고자료 ZIP.</x:t>
  </x:si>
  <x:si>
    <x:t>성과 표현</x:t>
  </x:si>
  <x:si>
    <x:t>참고자료</x:t>
  </x:si>
  <x:si>
    <x:t>평가 순서</x:t>
  </x:si>
  <x:si>
    <x:t>앱·시연 완료</x:t>
  </x:si>
  <x:si>
    <x:t>작업 수</x:t>
  </x:si>
  <x:si>
    <x:t>완료 수</x:t>
  </x:si>
  <x:si>
    <x:t>운영 기준</x:t>
  </x:si>
  <x:si>
    <x:t>연휴 대응</x:t>
  </x:si>
  <x:si>
    <x:t>일정 고정</x:t>
  </x:si>
  <x:si>
    <x:t>범위 조정</x:t>
  </x:si>
  <x:si>
    <x:t>구현 가이드</x:t>
  </x:si>
  <x:si>
    <x:t>서비스 계획</x:t>
  </x:si>
  <x:si>
    <x:t>공모요강</x:t>
  </x:si>
  <x:si>
    <x:t>일정 수정</x:t>
  </x:si>
  <x:si>
    <x:t>연휴 기준</x:t>
  </x:si>
  <x:si>
    <x:t>상태 입력</x:t>
  </x:si>
  <x:si>
    <x:t>제출 규격</x:t>
  </x:si>
  <x:si>
    <x:t>자료 제작</x:t>
  </x:si>
  <x:si>
    <x:t>접수 확인</x:t>
  </x:si>
  <x:si>
    <x:t>제출 준비</x:t>
  </x:si>
  <x:si>
    <x:t>최종 확인</x:t>
  </x:si>
  <x:si>
    <x:t>전체 작업</x:t>
  </x:si>
  <x:si>
    <x:t>성과검증</x:t>
  </x:si>
  <x:si>
    <x:t>완료 작업</x:t>
  </x:si>
  <x:si>
    <x:t>검증 준비</x:t>
  </x:si>
  <x:si>
    <x:t>마일스톤</x:t>
  </x:si>
  <x:si>
    <x:t>실제 완료일</x:t>
  </x:si>
  <x:si>
    <x:t>데이터·검증</x:t>
  </x:si>
  <x:si>
    <x:t>2026.09.24~09.30  |  9/27 앱·시연 완료 · 9/28~29 제출자료 제작 · 9/30 제출</x:t>
  </x:si>
  <x:si>
    <x:t>실제 장소 15곳 목표, 부족 시 검증 가능한 9곳 안팎으로 축소. 미확인 규정을 허용으로 처리하지 않는다.</x:t>
  </x:si>
  <x:si>
    <x:t>실제 장소·동반 규정 검토본 전달</x:t>
  </x:si>
  <x:si>
    <x:t>제출 파일·링크·실행 상태 확인</x:t>
  </x:si>
  <x:si>
    <x:t>평가 환경 확보·평가 버전 고정</x:t>
  </x:si>
  <x:si>
    <x:t>활용사례 본문 1차 통합·증빙 연결</x:t>
  </x:si>
  <x:si>
    <x:t>기술 평가의 치명적 오류 수정</x:t>
  </x:si>
  <x:si>
    <x:t>필수 기능·역할·완료 기준 확정</x:t>
  </x:si>
  <x:si>
    <x:t>참고자료 ZIP·원본 백업 정리</x:t>
  </x:si>
  <x:si>
    <x:t>고정 기술 평가 실행·첫 결과 보존</x:t>
  </x:si>
  <x:si>
    <x:t>접수 내용 교차 확인·오류 대응</x:t>
  </x:si>
  <x:si>
    <x:t>평가 사례·정답·사용자 과제 확정</x:t>
  </x:si>
  <x:si>
    <x:t>신청서·동의서·확인서 작성 및 서명</x:t>
  </x:si>
  <x:si>
    <x:t>지역 선정 자료와 분석 기준 점검</x:t>
  </x:si>
  <x:si>
    <x:t>최종 앱 안정화·시연 자료 제작</x:t>
  </x:si>
  <x:si>
    <x:t>사용자 과제 리허설·기록 환경 점검</x:t>
  </x:si>
  <x:si>
    <x:t>파일·접속 점검, 접수 확인·백업</x:t>
  </x:si>
  <x:si>
    <x:t>핵심 오류 수정·최종 회귀 점검</x:t>
  </x:si>
  <x:si>
    <x:t>입력 검증·반려견 조건 판정 보완</x:t>
  </x:si>
  <x:si>
    <x:t>구현 구조·기능·시연 설명자료 작성</x:t>
  </x:si>
  <x:si>
    <x:t>실측 결과·한계·보고 수치 확정</x:t>
  </x:si>
  <x:si>
    <x:t>기존 앱 실행 및 미완성 기능 점검</x:t>
  </x:si>
  <x:si>
    <x:t>앱·시연·성과 원자료 최종 고정</x:t>
  </x:si>
  <x:si>
    <x:t>필수 범위와 보완 목록 확정</x:t>
  </x:si>
  <x:si>
    <x:t>상태·완료일·메모 입력</x:t>
  </x:si>
  <x:si>
    <x:t>9월 24~30일 역할 배분</x:t>
  </x:si>
  <x:si>
    <x:t>외부 보호자 비교 과제 진행</x:t>
  </x:si>
  <x:si>
    <x:t>활용사례 작성양식 최종 편집</x:t>
  </x:si>
  <x:si>
    <x:t>온라인 신청·파일 업로드</x:t>
  </x:si>
  <x:si>
    <x:t>제출 PDF 변환·서식 검수</x:t>
  </x:si>
  <x:si>
    <x:t>최종 제출 패키지 교차 검수</x:t>
  </x:si>
  <x:si>
    <x:t>제출본·접수 증빙 백업</x:t>
  </x:si>
  <x:si>
    <x:t>성과검증 보고서·성과표 작성</x:t>
  </x:si>
  <x:si>
    <x:t>B — 데이터·제출 담당</x:t>
  </x:si>
  <x:si>
    <x:t>숙소·식당·체험 조사표, 보호자 2명 9/27 오전 참여 목표</x:t>
  </x:si>
  <x:si>
    <x:t>필수서류·서명·첨부 규격 체크리스트. 본문 제작은 9/28부터</x:t>
  </x:si>
  <x:si>
    <x:t>지역 분석·성과표·평가 원자료·시연 증빙과 파일 목록. 제출용 비밀키·개인정보 제외</x:t>
  </x:si>
  <x:si>
    <x:t>11:00까지 제출 목표, 공식 마감 14:00(KST). 접수 화면 보관</x:t>
  </x:si>
  <x:si>
    <x:t>서식4 2~3쪽, 함초롱바탕 11pt·줄간격 160, 성과분야 1개 선택</x:t>
  </x:si>
  <x:si>
    <x:t>본문·성과표 수치 일치, PDF/ZIP 열기, 링크·용량·파일명·누락 점검</x:t>
  </x:si>
  <x:si>
    <x:t>사용자 요청: 9/27 최종 앱 안정화·시연 제작 완료, 월·화 제출자료 제작</x:t>
  </x:si>
  <x:si>
    <x:t>실제 데이터로 전체 흐름 연결, 출처·미확인·오류 안내 표시</x:t>
  </x:si>
  <x:si>
    <x:t>날짜 미지정 코스 추천과 실제 예약·현장 이용을 구분한다. 외부 참여자가 없으면 외부 사용성은 미검증으로 표시한다.</x:t>
  </x:si>
  <x:si>
    <x:t>(첨부1) (공모요강) 2026 한국관광 데이터랩 활용 경진대회.pdf, 3·5·11~12쪽</x:t>
  </x:si>
  <x:si>
    <x:t>A: 개발·배포·기술 증빙   B: 데이터·성과검증·제출 서류   공동: 의사결정·교차 검수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</x:si>
</x:sst>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%"/>
    <x:numFmt numFmtId="165" formatCode="mm\/dd"/>
  </x:numFmts>
  <x:fonts count="11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Malgun Gothic"/>
      <x:sz val="11"/>
      <x:color rgb="ff102a43"/>
    </x:font>
    <x:font>
      <x:name val="Malgun Gothic"/>
      <x:sz val="16"/>
      <x:color rgb="ff243b53"/>
      <x:b val="1"/>
    </x:font>
    <x:font>
      <x:name val="Malgun Gothic"/>
      <x:sz val="11"/>
      <x:color rgb="ff52606d"/>
    </x:font>
    <x:font>
      <x:name val="Malgun Gothic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243b53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243b53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8df"/>
        <x:bgColor indexed="64"/>
      </x:patternFill>
    </x:fill>
    <x:fill>
      <x:patternFill patternType="solid">
        <x:fgColor rgb="ff243b53"/>
        <x:bgColor indexed="64"/>
      </x:patternFill>
    </x:fill>
    <x:fill>
      <x:patternFill patternType="solid">
        <x:fgColor rgb="ffe3edf7"/>
        <x:bgColor indexed="64"/>
      </x:patternFill>
    </x:fill>
    <x:fill>
      <x:patternFill patternType="solid">
        <x:fgColor rgb="ffedf3e9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medium">
        <x:color rgb="ffbcccdc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5">
    <x:xf numFmtId="0" fontId="0" fillId="0" borderId="0" xfId="1" applyNumberFormat="1">
      <x:alignment horizontal="general" vertical="bottom"/>
    </x:xf>
    <x:xf numFmtId="0" fontId="6" fillId="0" borderId="0" xfId="1" applyNumberFormat="1" applyFont="1" applyFill="1" applyBorder="1" applyAlignment="1">
      <x:alignment horizontal="general" vertical="center"/>
    </x:xf>
    <x:xf numFmtId="0" fontId="7" fillId="0" borderId="0" xfId="1" applyNumberFormat="1" applyFont="1" applyFill="1" applyBorder="1" applyAlignment="1">
      <x:alignment horizontal="general" vertical="center"/>
    </x:xf>
    <x:xf numFmtId="0" fontId="8" fillId="0" borderId="0" xfId="1" applyNumberFormat="1" applyFont="1" applyFill="1" applyBorder="1" applyAlignment="1">
      <x:alignment horizontal="general" vertical="center"/>
    </x:xf>
    <x:xf numFmtId="164" fontId="6" fillId="0" borderId="0" xfId="1" applyNumberFormat="1" applyFont="1" applyFill="1" applyBorder="1" applyAlignment="1">
      <x:alignment horizontal="general" vertical="center"/>
    </x:xf>
    <x:xf numFmtId="0" fontId="6" fillId="0" borderId="0" xfId="1" applyNumberFormat="1" applyFont="1" applyFill="1" applyBorder="1" applyAlignment="1">
      <x:alignment horizontal="general" vertical="center" wrapText="1"/>
    </x:xf>
    <x:xf numFmtId="165" fontId="6" fillId="0" borderId="0" xfId="1" applyNumberFormat="1" applyFont="1" applyFill="1" applyBorder="1" applyAlignment="1">
      <x:alignment horizontal="general" vertical="center"/>
    </x:xf>
    <x:xf numFmtId="0" fontId="6" fillId="2" borderId="0" xfId="1" applyNumberFormat="1" applyFont="1" applyFill="1" applyBorder="1" applyAlignment="1">
      <x:alignment horizontal="general" vertical="center" wrapText="1"/>
    </x:xf>
    <x:xf numFmtId="165" fontId="6" fillId="2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3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1" applyNumberFormat="1" applyFont="1" applyFill="1" applyBorder="1" applyAlignment="1">
          <x:alignment horizontal="center" vertical="center"/>
        </x:xf>
      </mc:Fallback>
    </mc:AlternateContent>
    <x:xf numFmtId="0" fontId="6" fillId="0" borderId="1" xfId="1" applyNumberFormat="1" applyFont="1" applyFill="1" applyBorder="1" applyAlignment="1">
      <x:alignment horizontal="general" vertical="center"/>
    </x:xf>
    <x:xf numFmtId="165" fontId="6" fillId="0" borderId="1" xfId="1" applyNumberFormat="1" applyFont="1" applyFill="1" applyBorder="1" applyAlignment="1">
      <x:alignment horizontal="general" vertical="center"/>
    </x:xf>
    <x:xf numFmtId="0" fontId="6" fillId="0" borderId="1" xfId="1" applyNumberFormat="1" applyFont="1" applyFill="1" applyBorder="1" applyAlignment="1">
      <x:alignment horizontal="general" vertical="center" wrapText="1"/>
    </x:xf>
    <x:xf numFmtId="0" fontId="6" fillId="2" borderId="1" xfId="1" applyNumberFormat="1" applyFont="1" applyFill="1" applyBorder="1" applyAlignment="1">
      <x:alignment horizontal="general" vertical="center" wrapText="1"/>
    </x:xf>
    <x:xf numFmtId="165" fontId="6" fillId="2" borderId="1" xfId="1" applyNumberFormat="1" applyFont="1" applyFill="1" applyBorder="1" applyAlignment="1">
      <x:alignment horizontal="general" vertical="center" wrapText="1"/>
    </x:xf>
    <x:xf numFmtId="0" fontId="6" fillId="4" borderId="0" xfId="1" applyNumberFormat="1" applyFont="1" applyFill="1" applyBorder="1" applyAlignment="1">
      <x:alignment horizontal="general" vertical="center"/>
    </x:xf>
    <x:xf numFmtId="165" fontId="6" fillId="4" borderId="0" xfId="1" applyNumberFormat="1" applyFont="1" applyFill="1" applyBorder="1" applyAlignment="1">
      <x:alignment horizontal="general" vertical="center"/>
    </x:xf>
    <x:xf numFmtId="0" fontId="6" fillId="4" borderId="0" xfId="1" applyNumberFormat="1" applyFont="1" applyFill="1" applyBorder="1" applyAlignment="1">
      <x:alignment horizontal="general" vertical="center" wrapText="1"/>
    </x:xf>
    <x:xf numFmtId="164" fontId="6" fillId="4" borderId="0" xfId="1" applyNumberFormat="1" applyFont="1" applyFill="1" applyBorder="1" applyAlignment="1">
      <x:alignment horizontal="general" vertical="center"/>
    </x:xf>
    <x:xf numFmtId="165" fontId="6" fillId="5" borderId="0" xfId="1" applyNumberFormat="1" applyFont="1" applyFill="1" applyBorder="1" applyAlignment="1">
      <x:alignment horizontal="general" vertical="center"/>
    </x:xf>
    <x:xf numFmtId="0" fontId="6" fillId="5" borderId="0" xfId="1" applyNumberFormat="1" applyFont="1" applyFill="1" applyBorder="1" applyAlignment="1">
      <x:alignment horizontal="general" vertical="center"/>
    </x:xf>
    <x:xf numFmtId="0" fontId="6" fillId="5" borderId="0" xfId="1" applyNumberFormat="1" applyFont="1" applyFill="1" applyBorder="1" applyAlignment="1">
      <x:alignment horizontal="general" vertical="center" wrapText="1"/>
    </x:xf>
    <x:xf numFmtId="164" fontId="6" fillId="5" borderId="0" xfId="1" applyNumberFormat="1" applyFont="1" applyFill="1" applyBorder="1" applyAlignment="1">
      <x:alignment horizontal="general" vertical="center"/>
    </x:xf>
    <x:xf numFmtId="0" fontId="10" fillId="0" borderId="0" xfId="1" applyNumberFormat="1" applyFont="1" applyFill="1" applyBorder="1" applyAlignment="1">
      <x:alignment horizontal="general" vertical="center"/>
    </x:xf>
    <x:xf numFmtId="0" fontId="6" fillId="0" borderId="0" xfId="1" applyNumberFormat="1" applyFont="1" applyFill="1" applyBorder="1" applyAlignment="1">
      <x:alignment horizontal="general" vertical="center" wrapText="1"/>
    </x:xf>
  </x:cellXfs>
  <x:cellStyles count="2">
    <x:cellStyle name="표준" xfId="0" builtinId="0" iLevel="0"/>
    <x:cellStyle name="Normal" xfId="1"/>
  </x:cellStyles>
  <x:dxfs count="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45a32"/>
            <hs:size val="0"/>
            <hs:ratio val="0"/>
            <hs:spacing val="0"/>
            <hs:offset val="0"/>
          </x:font>
          <x:fill>
            <x:patternFill patternType="solid">
              <x:bgColor rgb="ffdcefe5"/>
            </x:patternFill>
          </x:fill>
        </x:dxf>
      </mc:Choice>
      <mc:Fallback>
        <x:dxf>
          <x:font>
            <x:color rgb="ff145a32"/>
          </x:font>
          <x:fill>
            <x:patternFill patternType="solid">
              <x:bgColor rgb="ffdcefe5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a4262c"/>
            <hs:size val="0"/>
            <hs:ratio val="0"/>
            <hs:spacing val="0"/>
            <hs:offset val="0"/>
          </x:font>
          <x:fill>
            <x:patternFill patternType="solid">
              <x:bgColor rgb="fffbe2e2"/>
            </x:patternFill>
          </x:fill>
        </x:dxf>
      </mc:Choice>
      <mc:Fallback>
        <x:dxf>
          <x:font>
            <x:color rgb="ffa4262c"/>
          </x:font>
          <x:fill>
            <x:patternFill patternType="solid">
              <x:bgColor rgb="fffbe2e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e4e79"/>
            <hs:size val="0"/>
            <hs:ratio val="0"/>
            <hs:spacing val="0"/>
            <hs:offset val="0"/>
          </x:font>
          <x:fill>
            <x:patternFill patternType="solid">
              <x:bgColor rgb="ffdfecfa"/>
            </x:patternFill>
          </x:fill>
        </x:dxf>
      </mc:Choice>
      <mc:Fallback>
        <x:dxf>
          <x:font>
            <x:color rgb="ff1e4e79"/>
          </x:font>
          <x:fill>
            <x:patternFill patternType="solid">
              <x:bgColor rgb="ffdfecfa"/>
            </x:patternFill>
          </x:fill>
        </x:dxf>
      </mc:Fallback>
    </mc:AlternateContent>
    <x:dxf>
      <x:border>
        <x:horizontal>
          <x:color rgb="ff000000"/>
        </x:horizontal>
      </x:border>
    </x:dxf>
    <x:dxf>
      <x:border>
        <x:horizontal>
          <x:color rgb="ff000000"/>
        </x:horizontal>
      </x:border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WBSTasks" displayName="WBSTasks" ref="A7:I41" totalsRowShown="0" totalsRowBorderDxfId="3">
  <x:autoFilter ref="A7:I41"/>
  <x:tableColumns count="9">
    <x:tableColumn id="1" name="WBS" dataDxfId="4"/>
    <x:tableColumn id="2" name="마감일" dataDxfId="4"/>
    <x:tableColumn id="3" name="분류" dataDxfId="4"/>
    <x:tableColumn id="4" name="작업" dataDxfId="4"/>
    <x:tableColumn id="5" name="담당" dataDxfId="4"/>
    <x:tableColumn id="6" name="완료 기준·산출물" dataDxfId="4"/>
    <x:tableColumn id="7" name="상태" dataDxfId="4"/>
    <x:tableColumn id="8" name="실제 완료일" dataDxfId="4"/>
    <x:tableColumn id="9" name="메모·증빙 위치" dataDxfId="4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243b53"/>
  </x:sheetPr>
  <x:dimension ref="A1:I41"/>
  <x:sheetViews>
    <x:sheetView showGridLines="0" tabSelected="1" topLeftCell="A1" zoomScaleNormal="100" zoomScaleSheetLayoutView="100" workbookViewId="0">
      <x:pane xSplit="2" ySplit="7" topLeftCell="C16" activePane="bottomRight" state="frozen"/>
      <x:selection pane="bottomRight" activeCell="D16" activeCellId="0" sqref="D16:D16"/>
    </x:sheetView>
  </x:sheetViews>
  <x:sheetFormatPr defaultColWidth="8.72265625" defaultRowHeight="13.55000000000000071054"/>
  <x:cols>
    <x:col min="1" max="1" width="9" customWidth="1"/>
    <x:col min="2" max="2" width="13" customWidth="1"/>
    <x:col min="3" max="3" width="15" customWidth="1"/>
    <x:col min="4" max="4" width="43" customWidth="1"/>
    <x:col min="5" max="5" width="22" customWidth="1"/>
    <x:col min="6" max="6" width="72" customWidth="1"/>
    <x:col min="7" max="7" width="14" customWidth="1"/>
    <x:col min="8" max="8" width="15" customWidth="1"/>
    <x:col min="9" max="9" width="32" customWidth="1"/>
  </x:cols>
  <x:sheetData>
    <x:row r="1" spans="1:9" ht="26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spans="1:9" ht="32" customHeight="1">
      <x:c r="A2" s="2" t="s">
        <x:v>97</x:v>
      </x:c>
      <x:c r="B2" s="1"/>
      <x:c r="C2" s="1"/>
      <x:c r="D2" s="1"/>
      <x:c r="E2" s="1"/>
      <x:c r="F2" s="1"/>
      <x:c r="G2" s="1"/>
      <x:c r="H2" s="1"/>
      <x:c r="I2" s="1"/>
    </x:row>
    <x:row r="3" spans="1:9" ht="26" customHeight="1">
      <x:c r="A3" s="3" t="s">
        <x:v>162</x:v>
      </x:c>
      <x:c r="B3" s="3"/>
      <x:c r="C3" s="3"/>
      <x:c r="D3" s="3"/>
      <x:c r="E3" s="3"/>
      <x:c r="F3" s="3"/>
      <x:c r="G3" s="3"/>
      <x:c r="H3" s="3"/>
      <x:c r="I3" s="3"/>
    </x:row>
    <x:row r="4" spans="1:9" ht="26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spans="1:9" ht="26" customHeight="1">
      <x:c r="A5" s="1" t="s">
        <x:v>155</x:v>
      </x:c>
      <x:c r="B5" s="1">
        <x:f>COUNTA(A8:A41)</x:f>
        <x:v>34</x:v>
      </x:c>
      <x:c r="C5" s="1" t="s">
        <x:v>157</x:v>
      </x:c>
      <x:c r="D5" s="1">
        <x:f>COUNTIFS(G8:G41,"완료")</x:f>
        <x:v>0</x:v>
      </x:c>
      <x:c r="E5" s="1" t="s">
        <x:v>69</x:v>
      </x:c>
      <x:c r="F5" s="4">
        <x:f>D5/B5</x:f>
        <x:v>0</x:v>
      </x:c>
      <x:c r="G5" s="1" t="s">
        <x:v>186</x:v>
      </x:c>
      <x:c r="H5" s="1"/>
      <x:c r="I5" s="1"/>
    </x:row>
    <x:row r="6" spans="1:9" ht="26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spans="1:9" ht="32" customHeight="1">
      <x:c r="A7" s="9" t="s">
        <x:v>70</x:v>
      </x:c>
      <x:c r="B7" s="9" t="s">
        <x:v>49</x:v>
      </x:c>
      <x:c r="C7" s="9" t="s">
        <x:v>67</x:v>
      </x:c>
      <x:c r="D7" s="9" t="s">
        <x:v>52</x:v>
      </x:c>
      <x:c r="E7" s="9" t="s">
        <x:v>56</x:v>
      </x:c>
      <x:c r="F7" s="9" t="s">
        <x:v>19</x:v>
      </x:c>
      <x:c r="G7" s="9" t="s">
        <x:v>46</x:v>
      </x:c>
      <x:c r="H7" s="9" t="s">
        <x:v>160</x:v>
      </x:c>
      <x:c r="I7" s="9" t="s">
        <x:v>16</x:v>
      </x:c>
    </x:row>
    <x:row r="8" spans="1:9" ht="59" customHeight="1">
      <x:c r="A8" s="10" t="s">
        <x:v>58</x:v>
      </x:c>
      <x:c r="B8" s="11">
        <x:v>46289</x:v>
      </x:c>
      <x:c r="C8" s="12" t="s">
        <x:v>47</x:v>
      </x:c>
      <x:c r="D8" s="12" t="s">
        <x:v>169</x:v>
      </x:c>
      <x:c r="E8" s="12" t="s">
        <x:v>65</x:v>
      </x:c>
      <x:c r="F8" s="12" t="s">
        <x:v>116</x:v>
      </x:c>
      <x:c r="G8" s="13" t="s">
        <x:v>71</x:v>
      </x:c>
      <x:c r="H8" s="14"/>
      <x:c r="I8" s="13"/>
    </x:row>
    <x:row r="9" spans="1:9" ht="59" customHeight="1">
      <x:c r="A9" s="1" t="s">
        <x:v>53</x:v>
      </x:c>
      <x:c r="B9" s="6">
        <x:v>46289</x:v>
      </x:c>
      <x:c r="C9" s="5" t="s">
        <x:v>61</x:v>
      </x:c>
      <x:c r="D9" s="5" t="s">
        <x:v>183</x:v>
      </x:c>
      <x:c r="E9" s="5" t="s">
        <x:v>45</x:v>
      </x:c>
      <x:c r="F9" s="5" t="s">
        <x:v>131</x:v>
      </x:c>
      <x:c r="G9" s="7" t="s">
        <x:v>71</x:v>
      </x:c>
      <x:c r="H9" s="8"/>
      <x:c r="I9" s="7"/>
    </x:row>
    <x:row r="10" spans="1:9" ht="59" customHeight="1">
      <x:c r="A10" s="1" t="s">
        <x:v>73</x:v>
      </x:c>
      <x:c r="B10" s="6">
        <x:v>46289</x:v>
      </x:c>
      <x:c r="C10" s="5" t="s">
        <x:v>61</x:v>
      </x:c>
      <x:c r="D10" s="5" t="s">
        <x:v>95</x:v>
      </x:c>
      <x:c r="E10" s="5" t="s">
        <x:v>45</x:v>
      </x:c>
      <x:c r="F10" s="5" t="s">
        <x:v>22</x:v>
      </x:c>
      <x:c r="G10" s="7" t="s">
        <x:v>71</x:v>
      </x:c>
      <x:c r="H10" s="8"/>
      <x:c r="I10" s="7"/>
    </x:row>
    <x:row r="11" spans="1:9" ht="59" customHeight="1">
      <x:c r="A11" s="1" t="s">
        <x:v>59</x:v>
      </x:c>
      <x:c r="B11" s="6">
        <x:v>46289</x:v>
      </x:c>
      <x:c r="C11" s="5" t="s">
        <x:v>55</x:v>
      </x:c>
      <x:c r="D11" s="5" t="s">
        <x:v>175</x:v>
      </x:c>
      <x:c r="E11" s="5" t="s">
        <x:v>48</x:v>
      </x:c>
      <x:c r="F11" s="5" t="s">
        <x:v>21</x:v>
      </x:c>
      <x:c r="G11" s="7" t="s">
        <x:v>71</x:v>
      </x:c>
      <x:c r="H11" s="8"/>
      <x:c r="I11" s="7"/>
    </x:row>
    <x:row r="12" spans="1:9" ht="59" customHeight="1">
      <x:c r="A12" s="1" t="s">
        <x:v>76</x:v>
      </x:c>
      <x:c r="B12" s="6">
        <x:v>46289</x:v>
      </x:c>
      <x:c r="C12" s="5" t="s">
        <x:v>161</x:v>
      </x:c>
      <x:c r="D12" s="5" t="s">
        <x:v>107</x:v>
      </x:c>
      <x:c r="E12" s="5" t="s">
        <x:v>48</x:v>
      </x:c>
      <x:c r="F12" s="5" t="s">
        <x:v>196</x:v>
      </x:c>
      <x:c r="G12" s="7" t="s">
        <x:v>71</x:v>
      </x:c>
      <x:c r="H12" s="8"/>
      <x:c r="I12" s="7"/>
    </x:row>
    <x:row r="13" spans="1:9" ht="59" customHeight="1">
      <x:c r="A13" s="1" t="s">
        <x:v>62</x:v>
      </x:c>
      <x:c r="B13" s="6">
        <x:v>46289</x:v>
      </x:c>
      <x:c r="C13" s="5" t="s">
        <x:v>153</x:v>
      </x:c>
      <x:c r="D13" s="5" t="s">
        <x:v>96</x:v>
      </x:c>
      <x:c r="E13" s="5" t="s">
        <x:v>48</x:v>
      </x:c>
      <x:c r="F13" s="5" t="s">
        <x:v>197</x:v>
      </x:c>
      <x:c r="G13" s="7" t="s">
        <x:v>71</x:v>
      </x:c>
      <x:c r="H13" s="8"/>
      <x:c r="I13" s="7"/>
    </x:row>
    <x:row r="14" spans="1:9" ht="59" customHeight="1">
      <x:c r="A14" s="10" t="s">
        <x:v>82</x:v>
      </x:c>
      <x:c r="B14" s="11">
        <x:v>46290</x:v>
      </x:c>
      <x:c r="C14" s="12" t="s">
        <x:v>61</x:v>
      </x:c>
      <x:c r="D14" s="12" t="s">
        <x:v>180</x:v>
      </x:c>
      <x:c r="E14" s="12" t="s">
        <x:v>45</x:v>
      </x:c>
      <x:c r="F14" s="12" t="s">
        <x:v>93</x:v>
      </x:c>
      <x:c r="G14" s="13" t="s">
        <x:v>71</x:v>
      </x:c>
      <x:c r="H14" s="14"/>
      <x:c r="I14" s="13"/>
    </x:row>
    <x:row r="15" spans="1:9" ht="59" customHeight="1">
      <x:c r="A15" s="1" t="s">
        <x:v>86</x:v>
      </x:c>
      <x:c r="B15" s="6">
        <x:v>46290</x:v>
      </x:c>
      <x:c r="C15" s="5" t="s">
        <x:v>61</x:v>
      </x:c>
      <x:c r="D15" s="5" t="s">
        <x:v>108</x:v>
      </x:c>
      <x:c r="E15" s="5" t="s">
        <x:v>45</x:v>
      </x:c>
      <x:c r="F15" s="5" t="s">
        <x:v>11</x:v>
      </x:c>
      <x:c r="G15" s="7" t="s">
        <x:v>71</x:v>
      </x:c>
      <x:c r="H15" s="8"/>
      <x:c r="I15" s="7"/>
    </x:row>
    <x:row r="16" spans="1:9" ht="59" customHeight="1">
      <x:c r="A16" s="1" t="s">
        <x:v>87</x:v>
      </x:c>
      <x:c r="B16" s="6">
        <x:v>46290</x:v>
      </x:c>
      <x:c r="C16" s="5" t="s">
        <x:v>55</x:v>
      </x:c>
      <x:c r="D16" s="5" t="s">
        <x:v>164</x:v>
      </x:c>
      <x:c r="E16" s="5" t="s">
        <x:v>48</x:v>
      </x:c>
      <x:c r="F16" s="5" t="s">
        <x:v>14</x:v>
      </x:c>
      <x:c r="G16" s="7" t="s">
        <x:v>71</x:v>
      </x:c>
      <x:c r="H16" s="8"/>
      <x:c r="I16" s="7"/>
    </x:row>
    <x:row r="17" spans="1:9" ht="59" customHeight="1">
      <x:c r="A17" s="1" t="s">
        <x:v>78</x:v>
      </x:c>
      <x:c r="B17" s="6">
        <x:v>46290</x:v>
      </x:c>
      <x:c r="C17" s="5" t="s">
        <x:v>92</x:v>
      </x:c>
      <x:c r="D17" s="5" t="s">
        <x:v>94</x:v>
      </x:c>
      <x:c r="E17" s="5" t="s">
        <x:v>48</x:v>
      </x:c>
      <x:c r="F17" s="5" t="s">
        <x:v>6</x:v>
      </x:c>
      <x:c r="G17" s="7" t="s">
        <x:v>71</x:v>
      </x:c>
      <x:c r="H17" s="8"/>
      <x:c r="I17" s="7"/>
    </x:row>
    <x:row r="18" spans="1:9" ht="59" customHeight="1">
      <x:c r="A18" s="1" t="s">
        <x:v>88</x:v>
      </x:c>
      <x:c r="B18" s="6">
        <x:v>46290</x:v>
      </x:c>
      <x:c r="C18" s="5" t="s">
        <x:v>158</x:v>
      </x:c>
      <x:c r="D18" s="5" t="s">
        <x:v>173</x:v>
      </x:c>
      <x:c r="E18" s="5" t="s">
        <x:v>48</x:v>
      </x:c>
      <x:c r="F18" s="5" t="s">
        <x:v>10</x:v>
      </x:c>
      <x:c r="G18" s="7" t="s">
        <x:v>71</x:v>
      </x:c>
      <x:c r="H18" s="8"/>
      <x:c r="I18" s="7"/>
    </x:row>
    <x:row r="19" spans="1:9" ht="59" customHeight="1">
      <x:c r="A19" s="10" t="s">
        <x:v>90</x:v>
      </x:c>
      <x:c r="B19" s="11">
        <x:v>46291</x:v>
      </x:c>
      <x:c r="C19" s="12" t="s">
        <x:v>61</x:v>
      </x:c>
      <x:c r="D19" s="12" t="s">
        <x:v>102</x:v>
      </x:c>
      <x:c r="E19" s="12" t="s">
        <x:v>45</x:v>
      </x:c>
      <x:c r="F19" s="12" t="s">
        <x:v>203</x:v>
      </x:c>
      <x:c r="G19" s="13" t="s">
        <x:v>71</x:v>
      </x:c>
      <x:c r="H19" s="14"/>
      <x:c r="I19" s="13"/>
    </x:row>
    <x:row r="20" spans="1:9" ht="59" customHeight="1">
      <x:c r="A20" s="1" t="s">
        <x:v>91</x:v>
      </x:c>
      <x:c r="B20" s="6">
        <x:v>46291</x:v>
      </x:c>
      <x:c r="C20" s="5" t="s">
        <x:v>79</x:v>
      </x:c>
      <x:c r="D20" s="5" t="s">
        <x:v>166</x:v>
      </x:c>
      <x:c r="E20" s="5" t="s">
        <x:v>45</x:v>
      </x:c>
      <x:c r="F20" s="5" t="s">
        <x:v>122</x:v>
      </x:c>
      <x:c r="G20" s="7" t="s">
        <x:v>71</x:v>
      </x:c>
      <x:c r="H20" s="8"/>
      <x:c r="I20" s="7"/>
    </x:row>
    <x:row r="21" spans="1:9" ht="59" customHeight="1">
      <x:c r="A21" s="1" t="s">
        <x:v>85</x:v>
      </x:c>
      <x:c r="B21" s="6">
        <x:v>46291</x:v>
      </x:c>
      <x:c r="C21" s="5" t="s">
        <x:v>156</x:v>
      </x:c>
      <x:c r="D21" s="5" t="s">
        <x:v>171</x:v>
      </x:c>
      <x:c r="E21" s="5" t="s">
        <x:v>48</x:v>
      </x:c>
      <x:c r="F21" s="5" t="s">
        <x:v>120</x:v>
      </x:c>
      <x:c r="G21" s="7" t="s">
        <x:v>71</x:v>
      </x:c>
      <x:c r="H21" s="8"/>
      <x:c r="I21" s="7"/>
    </x:row>
    <x:row r="22" spans="1:9" ht="59" customHeight="1">
      <x:c r="A22" s="1" t="s">
        <x:v>89</x:v>
      </x:c>
      <x:c r="B22" s="6">
        <x:v>46291</x:v>
      </x:c>
      <x:c r="C22" s="5" t="s">
        <x:v>158</x:v>
      </x:c>
      <x:c r="D22" s="5" t="s">
        <x:v>177</x:v>
      </x:c>
      <x:c r="E22" s="5" t="s">
        <x:v>48</x:v>
      </x:c>
      <x:c r="F22" s="5" t="s">
        <x:v>9</x:v>
      </x:c>
      <x:c r="G22" s="7" t="s">
        <x:v>71</x:v>
      </x:c>
      <x:c r="H22" s="8"/>
      <x:c r="I22" s="7"/>
    </x:row>
    <x:row r="23" spans="1:9" ht="59" customHeight="1">
      <x:c r="A23" s="1" t="s">
        <x:v>84</x:v>
      </x:c>
      <x:c r="B23" s="6">
        <x:v>46291</x:v>
      </x:c>
      <x:c r="C23" s="5" t="s">
        <x:v>61</x:v>
      </x:c>
      <x:c r="D23" s="5" t="s">
        <x:v>168</x:v>
      </x:c>
      <x:c r="E23" s="5" t="s">
        <x:v>45</x:v>
      </x:c>
      <x:c r="F23" s="5" t="s">
        <x:v>115</x:v>
      </x:c>
      <x:c r="G23" s="7" t="s">
        <x:v>71</x:v>
      </x:c>
      <x:c r="H23" s="8"/>
      <x:c r="I23" s="7"/>
    </x:row>
    <x:row r="24" spans="1:9" ht="59" customHeight="1">
      <x:c r="A24" s="10" t="s">
        <x:v>80</x:v>
      </x:c>
      <x:c r="B24" s="11">
        <x:v>46292</x:v>
      </x:c>
      <x:c r="C24" s="12" t="s">
        <x:v>156</x:v>
      </x:c>
      <x:c r="D24" s="12" t="s">
        <x:v>188</x:v>
      </x:c>
      <x:c r="E24" s="12" t="s">
        <x:v>48</x:v>
      </x:c>
      <x:c r="F24" s="12" t="s">
        <x:v>7</x:v>
      </x:c>
      <x:c r="G24" s="13" t="s">
        <x:v>71</x:v>
      </x:c>
      <x:c r="H24" s="14"/>
      <x:c r="I24" s="13"/>
    </x:row>
    <x:row r="25" spans="1:9" ht="59" customHeight="1">
      <x:c r="A25" s="1" t="s">
        <x:v>83</x:v>
      </x:c>
      <x:c r="B25" s="6">
        <x:v>46292</x:v>
      </x:c>
      <x:c r="C25" s="5" t="s">
        <x:v>77</x:v>
      </x:c>
      <x:c r="D25" s="5" t="s">
        <x:v>179</x:v>
      </x:c>
      <x:c r="E25" s="5" t="s">
        <x:v>45</x:v>
      </x:c>
      <x:c r="F25" s="5" t="s">
        <x:v>8</x:v>
      </x:c>
      <x:c r="G25" s="7" t="s">
        <x:v>71</x:v>
      </x:c>
      <x:c r="H25" s="8"/>
      <x:c r="I25" s="7"/>
    </x:row>
    <x:row r="26" spans="1:9" ht="59" customHeight="1">
      <x:c r="A26" s="1" t="s">
        <x:v>81</x:v>
      </x:c>
      <x:c r="B26" s="6">
        <x:v>46292</x:v>
      </x:c>
      <x:c r="C26" s="5" t="s">
        <x:v>156</x:v>
      </x:c>
      <x:c r="D26" s="5" t="s">
        <x:v>182</x:v>
      </x:c>
      <x:c r="E26" s="5" t="s">
        <x:v>48</x:v>
      </x:c>
      <x:c r="F26" s="5" t="s">
        <x:v>114</x:v>
      </x:c>
      <x:c r="G26" s="7" t="s">
        <x:v>71</x:v>
      </x:c>
      <x:c r="H26" s="8"/>
      <x:c r="I26" s="7"/>
    </x:row>
    <x:row r="27" spans="1:9" ht="59" customHeight="1">
      <x:c r="A27" s="1" t="s">
        <x:v>72</x:v>
      </x:c>
      <x:c r="B27" s="6">
        <x:v>46292</x:v>
      </x:c>
      <x:c r="C27" s="5" t="s">
        <x:v>68</x:v>
      </x:c>
      <x:c r="D27" s="5" t="s">
        <x:v>176</x:v>
      </x:c>
      <x:c r="E27" s="5" t="s">
        <x:v>45</x:v>
      </x:c>
      <x:c r="F27" s="5" t="s">
        <x:v>5</x:v>
      </x:c>
      <x:c r="G27" s="7" t="s">
        <x:v>71</x:v>
      </x:c>
      <x:c r="H27" s="8"/>
      <x:c r="I27" s="7"/>
    </x:row>
    <x:row r="28" spans="1:9" ht="59" customHeight="1">
      <x:c r="A28" s="15" t="s">
        <x:v>74</x:v>
      </x:c>
      <x:c r="B28" s="16">
        <x:v>46292</x:v>
      </x:c>
      <x:c r="C28" s="17" t="s">
        <x:v>159</x:v>
      </x:c>
      <x:c r="D28" s="17" t="s">
        <x:v>103</x:v>
      </x:c>
      <x:c r="E28" s="17" t="s">
        <x:v>65</x:v>
      </x:c>
      <x:c r="F28" s="17" t="s">
        <x:v>13</x:v>
      </x:c>
      <x:c r="G28" s="7" t="s">
        <x:v>71</x:v>
      </x:c>
      <x:c r="H28" s="8"/>
      <x:c r="I28" s="7"/>
    </x:row>
    <x:row r="29" spans="1:9" ht="59" customHeight="1">
      <x:c r="A29" s="10" t="s">
        <x:v>60</x:v>
      </x:c>
      <x:c r="B29" s="11">
        <x:v>46293</x:v>
      </x:c>
      <x:c r="C29" s="12" t="s">
        <x:v>151</x:v>
      </x:c>
      <x:c r="D29" s="12" t="s">
        <x:v>104</x:v>
      </x:c>
      <x:c r="E29" s="12" t="s">
        <x:v>48</x:v>
      </x:c>
      <x:c r="F29" s="12" t="s">
        <x:v>123</x:v>
      </x:c>
      <x:c r="G29" s="13" t="s">
        <x:v>71</x:v>
      </x:c>
      <x:c r="H29" s="14"/>
      <x:c r="I29" s="13"/>
    </x:row>
    <x:row r="30" spans="1:9" ht="59" customHeight="1">
      <x:c r="A30" s="1" t="s">
        <x:v>64</x:v>
      </x:c>
      <x:c r="B30" s="6">
        <x:v>46293</x:v>
      </x:c>
      <x:c r="C30" s="5" t="s">
        <x:v>151</x:v>
      </x:c>
      <x:c r="D30" s="5" t="s">
        <x:v>181</x:v>
      </x:c>
      <x:c r="E30" s="5" t="s">
        <x:v>45</x:v>
      </x:c>
      <x:c r="F30" s="5" t="s">
        <x:v>12</x:v>
      </x:c>
      <x:c r="G30" s="7" t="s">
        <x:v>71</x:v>
      </x:c>
      <x:c r="H30" s="8"/>
      <x:c r="I30" s="7"/>
    </x:row>
    <x:row r="31" spans="1:9" ht="59" customHeight="1">
      <x:c r="A31" s="1" t="s">
        <x:v>66</x:v>
      </x:c>
      <x:c r="B31" s="6">
        <x:v>46293</x:v>
      </x:c>
      <x:c r="C31" s="5" t="s">
        <x:v>151</x:v>
      </x:c>
      <x:c r="D31" s="5" t="s">
        <x:v>194</x:v>
      </x:c>
      <x:c r="E31" s="5" t="s">
        <x:v>48</x:v>
      </x:c>
      <x:c r="F31" s="5" t="s">
        <x:v>15</x:v>
      </x:c>
      <x:c r="G31" s="7" t="s">
        <x:v>71</x:v>
      </x:c>
      <x:c r="H31" s="8"/>
      <x:c r="I31" s="7"/>
    </x:row>
    <x:row r="32" spans="1:9" ht="59" customHeight="1">
      <x:c r="A32" s="1" t="s">
        <x:v>50</x:v>
      </x:c>
      <x:c r="B32" s="6">
        <x:v>46293</x:v>
      </x:c>
      <x:c r="C32" s="5" t="s">
        <x:v>151</x:v>
      </x:c>
      <x:c r="D32" s="5" t="s">
        <x:v>167</x:v>
      </x:c>
      <x:c r="E32" s="5" t="s">
        <x:v>65</x:v>
      </x:c>
      <x:c r="F32" s="5" t="s">
        <x:v>113</x:v>
      </x:c>
      <x:c r="G32" s="7" t="s">
        <x:v>71</x:v>
      </x:c>
      <x:c r="H32" s="8"/>
      <x:c r="I32" s="7"/>
    </x:row>
    <x:row r="33" spans="1:9" ht="59" customHeight="1">
      <x:c r="A33" s="10" t="s">
        <x:v>54</x:v>
      </x:c>
      <x:c r="B33" s="11">
        <x:v>46294</x:v>
      </x:c>
      <x:c r="C33" s="12" t="s">
        <x:v>151</x:v>
      </x:c>
      <x:c r="D33" s="12" t="s">
        <x:v>189</x:v>
      </x:c>
      <x:c r="E33" s="12" t="s">
        <x:v>48</x:v>
      </x:c>
      <x:c r="F33" s="12" t="s">
        <x:v>200</x:v>
      </x:c>
      <x:c r="G33" s="13" t="s">
        <x:v>71</x:v>
      </x:c>
      <x:c r="H33" s="14"/>
      <x:c r="I33" s="13"/>
    </x:row>
    <x:row r="34" spans="1:9" ht="59" customHeight="1">
      <x:c r="A34" s="1" t="s">
        <x:v>75</x:v>
      </x:c>
      <x:c r="B34" s="6">
        <x:v>46294</x:v>
      </x:c>
      <x:c r="C34" s="5" t="s">
        <x:v>51</x:v>
      </x:c>
      <x:c r="D34" s="5" t="s">
        <x:v>174</x:v>
      </x:c>
      <x:c r="E34" s="5" t="s">
        <x:v>20</x:v>
      </x:c>
      <x:c r="F34" s="5" t="s">
        <x:v>112</x:v>
      </x:c>
      <x:c r="G34" s="7" t="s">
        <x:v>71</x:v>
      </x:c>
      <x:c r="H34" s="8"/>
      <x:c r="I34" s="7"/>
    </x:row>
    <x:row r="35" spans="1:9" ht="59" customHeight="1">
      <x:c r="A35" s="1" t="s">
        <x:v>63</x:v>
      </x:c>
      <x:c r="B35" s="6">
        <x:v>46294</x:v>
      </x:c>
      <x:c r="C35" s="5" t="s">
        <x:v>51</x:v>
      </x:c>
      <x:c r="D35" s="5" t="s">
        <x:v>191</x:v>
      </x:c>
      <x:c r="E35" s="5" t="s">
        <x:v>48</x:v>
      </x:c>
      <x:c r="F35" s="5" t="s">
        <x:v>117</x:v>
      </x:c>
      <x:c r="G35" s="7" t="s">
        <x:v>71</x:v>
      </x:c>
      <x:c r="H35" s="8"/>
      <x:c r="I35" s="7"/>
    </x:row>
    <x:row r="36" spans="1:9" ht="59" customHeight="1">
      <x:c r="A36" s="1" t="s">
        <x:v>57</x:v>
      </x:c>
      <x:c r="B36" s="6">
        <x:v>46294</x:v>
      </x:c>
      <x:c r="C36" s="5" t="s">
        <x:v>37</x:v>
      </x:c>
      <x:c r="D36" s="5" t="s">
        <x:v>170</x:v>
      </x:c>
      <x:c r="E36" s="5" t="s">
        <x:v>45</x:v>
      </x:c>
      <x:c r="F36" s="5" t="s">
        <x:v>198</x:v>
      </x:c>
      <x:c r="G36" s="7" t="s">
        <x:v>71</x:v>
      </x:c>
      <x:c r="H36" s="8"/>
      <x:c r="I36" s="7"/>
    </x:row>
    <x:row r="37" spans="1:9" ht="59" customHeight="1">
      <x:c r="A37" s="15" t="s">
        <x:v>30</x:v>
      </x:c>
      <x:c r="B37" s="16">
        <x:v>46294</x:v>
      </x:c>
      <x:c r="C37" s="17" t="s">
        <x:v>159</x:v>
      </x:c>
      <x:c r="D37" s="17" t="s">
        <x:v>192</x:v>
      </x:c>
      <x:c r="E37" s="17" t="s">
        <x:v>65</x:v>
      </x:c>
      <x:c r="F37" s="17" t="s">
        <x:v>201</x:v>
      </x:c>
      <x:c r="G37" s="7" t="s">
        <x:v>71</x:v>
      </x:c>
      <x:c r="H37" s="8"/>
      <x:c r="I37" s="7"/>
    </x:row>
    <x:row r="38" spans="1:9" ht="59" customHeight="1">
      <x:c r="A38" s="10" t="s">
        <x:v>35</x:v>
      </x:c>
      <x:c r="B38" s="11">
        <x:v>46295</x:v>
      </x:c>
      <x:c r="C38" s="12" t="s">
        <x:v>154</x:v>
      </x:c>
      <x:c r="D38" s="12" t="s">
        <x:v>165</x:v>
      </x:c>
      <x:c r="E38" s="12" t="s">
        <x:v>45</x:v>
      </x:c>
      <x:c r="F38" s="12" t="s">
        <x:v>121</x:v>
      </x:c>
      <x:c r="G38" s="13" t="s">
        <x:v>71</x:v>
      </x:c>
      <x:c r="H38" s="14"/>
      <x:c r="I38" s="13"/>
    </x:row>
    <x:row r="39" spans="1:9" ht="59" customHeight="1">
      <x:c r="A39" s="1" t="s">
        <x:v>36</x:v>
      </x:c>
      <x:c r="B39" s="6">
        <x:v>46295</x:v>
      </x:c>
      <x:c r="C39" s="5" t="s">
        <x:v>39</x:v>
      </x:c>
      <x:c r="D39" s="5" t="s">
        <x:v>190</x:v>
      </x:c>
      <x:c r="E39" s="5" t="s">
        <x:v>48</x:v>
      </x:c>
      <x:c r="F39" s="5" t="s">
        <x:v>199</x:v>
      </x:c>
      <x:c r="G39" s="7" t="s">
        <x:v>71</x:v>
      </x:c>
      <x:c r="H39" s="8"/>
      <x:c r="I39" s="7"/>
    </x:row>
    <x:row r="40" spans="1:9" ht="59" customHeight="1">
      <x:c r="A40" s="1" t="s">
        <x:v>29</x:v>
      </x:c>
      <x:c r="B40" s="6">
        <x:v>46295</x:v>
      </x:c>
      <x:c r="C40" s="5" t="s">
        <x:v>152</x:v>
      </x:c>
      <x:c r="D40" s="5" t="s">
        <x:v>172</x:v>
      </x:c>
      <x:c r="E40" s="5" t="s">
        <x:v>65</x:v>
      </x:c>
      <x:c r="F40" s="5" t="s">
        <x:v>118</x:v>
      </x:c>
      <x:c r="G40" s="7" t="s">
        <x:v>71</x:v>
      </x:c>
      <x:c r="H40" s="8"/>
      <x:c r="I40" s="7"/>
    </x:row>
    <x:row r="41" spans="1:9" ht="59" customHeight="1">
      <x:c r="A41" s="1" t="s">
        <x:v>31</x:v>
      </x:c>
      <x:c r="B41" s="6">
        <x:v>46295</x:v>
      </x:c>
      <x:c r="C41" s="5" t="s">
        <x:v>38</x:v>
      </x:c>
      <x:c r="D41" s="5" t="s">
        <x:v>193</x:v>
      </x:c>
      <x:c r="E41" s="5" t="s">
        <x:v>45</x:v>
      </x:c>
      <x:c r="F41" s="5" t="s">
        <x:v>125</x:v>
      </x:c>
      <x:c r="G41" s="7" t="s">
        <x:v>71</x:v>
      </x:c>
      <x:c r="H41" s="8"/>
      <x:c r="I41" s="7"/>
    </x:row>
  </x:sheetData>
  <x:conditionalFormatting sqref="G8:G41">
    <x:cfRule type="containsText" dxfId="2" priority="3" operator="containsText"/>
    <x:cfRule type="containsText" dxfId="1" priority="2" operator="containsText"/>
    <x:cfRule type="containsText" dxfId="0" priority="1" operator="containsText"/>
  </x:conditionalFormatting>
  <x:dataValidations count="1">
    <x:dataValidation type="list" sqref="G8:G41">
      <x:formula1>"미착수,진행중,검토중,완료,보류"</x:formula1>
    </x:dataValidation>
  </x:dataValidation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243b53"/>
  </x:sheetPr>
  <x:dimension ref="A1:H33"/>
  <x:sheetViews>
    <x:sheetView showGridLines="0" topLeftCell="A1" zoomScaleNormal="100" zoomScaleSheetLayoutView="100" workbookViewId="0">
      <x:selection activeCell="A1" activeCellId="0" sqref="A1:A1"/>
    </x:sheetView>
  </x:sheetViews>
  <x:sheetFormatPr defaultColWidth="8.72265625" defaultRowHeight="13.55000000000000071054"/>
  <x:cols>
    <x:col min="1" max="1" width="13" customWidth="1"/>
    <x:col min="2" max="2" width="8" customWidth="1"/>
    <x:col min="3" max="3" width="46" customWidth="1"/>
    <x:col min="4" max="4" width="52" customWidth="1"/>
    <x:col min="5" max="5" width="46" customWidth="1"/>
    <x:col min="6" max="7" width="11" customWidth="1"/>
    <x:col min="8" max="8" width="12" customWidth="1"/>
  </x:cols>
  <x:sheetData>
    <x:row r="1" spans="1:8" ht="26" customHeight="1">
      <x:c r="A1" s="1"/>
      <x:c r="B1" s="1"/>
      <x:c r="C1" s="1"/>
      <x:c r="D1" s="1"/>
      <x:c r="E1" s="1"/>
      <x:c r="F1" s="1"/>
      <x:c r="G1" s="1"/>
      <x:c r="H1" s="1"/>
    </x:row>
    <x:row r="2" spans="1:8" ht="32" customHeight="1">
      <x:c r="A2" s="2" t="s">
        <x:v>187</x:v>
      </x:c>
      <x:c r="B2" s="1"/>
      <x:c r="C2" s="1"/>
      <x:c r="D2" s="1"/>
      <x:c r="E2" s="1"/>
      <x:c r="F2" s="1"/>
      <x:c r="G2" s="1"/>
      <x:c r="H2" s="1"/>
    </x:row>
    <x:row r="3" spans="1:8" ht="26" customHeight="1">
      <x:c r="A3" s="1" t="s">
        <x:v>206</x:v>
      </x:c>
      <x:c r="B3" s="1"/>
      <x:c r="C3" s="1"/>
      <x:c r="D3" s="1"/>
      <x:c r="E3" s="1"/>
      <x:c r="F3" s="1"/>
      <x:c r="G3" s="1"/>
      <x:c r="H3" s="1"/>
    </x:row>
    <x:row r="4" spans="1:8" ht="26" customHeight="1">
      <x:c r="A4" s="1"/>
      <x:c r="B4" s="1"/>
      <x:c r="C4" s="1"/>
      <x:c r="D4" s="1"/>
      <x:c r="E4" s="1"/>
      <x:c r="F4" s="1"/>
      <x:c r="G4" s="1"/>
      <x:c r="H4" s="1"/>
    </x:row>
    <x:row r="5" spans="1:8" ht="26" customHeight="1">
      <x:c r="A5" s="1" t="s">
        <x:v>137</x:v>
      </x:c>
      <x:c r="B5" s="6">
        <x:v>46292</x:v>
      </x:c>
      <x:c r="C5" s="1" t="s">
        <x:v>99</x:v>
      </x:c>
      <x:c r="D5" s="1"/>
      <x:c r="E5" s="1" t="s">
        <x:v>23</x:v>
      </x:c>
      <x:c r="F5" s="1"/>
      <x:c r="G5" s="1"/>
      <x:c r="H5" s="1"/>
    </x:row>
    <x:row r="6" spans="1:8" ht="26" customHeight="1">
      <x:c r="A6" s="1"/>
      <x:c r="B6" s="1"/>
      <x:c r="C6" s="1"/>
      <x:c r="D6" s="1"/>
      <x:c r="E6" s="1"/>
      <x:c r="F6" s="1"/>
      <x:c r="G6" s="1"/>
      <x:c r="H6" s="1"/>
    </x:row>
    <x:row r="7" spans="1:8" ht="32" customHeight="1">
      <x:c r="A7" s="9" t="s">
        <x:v>42</x:v>
      </x:c>
      <x:c r="B7" s="9" t="s">
        <x:v>28</x:v>
      </x:c>
      <x:c r="C7" s="9" t="s">
        <x:v>17</x:v>
      </x:c>
      <x:c r="D7" s="9" t="s">
        <x:v>195</x:v>
      </x:c>
      <x:c r="E7" s="9" t="s">
        <x:v>18</x:v>
      </x:c>
      <x:c r="F7" s="9" t="s">
        <x:v>138</x:v>
      </x:c>
      <x:c r="G7" s="9" t="s">
        <x:v>139</x:v>
      </x:c>
      <x:c r="H7" s="9" t="s">
        <x:v>69</x:v>
      </x:c>
    </x:row>
    <x:row r="8" spans="1:8" ht="85" customHeight="1">
      <x:c r="A8" s="6">
        <x:v>46289</x:v>
      </x:c>
      <x:c r="B8" s="1" t="s">
        <x:v>33</x:v>
      </x:c>
      <x:c r="C8" s="5" t="s">
        <x:v>98</x:v>
      </x:c>
      <x:c r="D8" s="5" t="s">
        <x:v>119</x:v>
      </x:c>
      <x:c r="E8" s="5" t="s">
        <x:v>185</x:v>
      </x:c>
      <x:c r="F8" s="1">
        <x:f>COUNTIFS('상세 WBS'!$B$8:$B$41,A8)</x:f>
        <x:v>6</x:v>
      </x:c>
      <x:c r="G8" s="1">
        <x:f>COUNTIFS('상세 WBS'!$B$8:$B$41,A8,'상세 WBS'!$G$8:$G$41,"완료")</x:f>
        <x:v>0</x:v>
      </x:c>
      <x:c r="H8" s="4">
        <x:f>IF(F8=0,"",G8/F8)</x:f>
        <x:v>0</x:v>
      </x:c>
    </x:row>
    <x:row r="9" spans="1:8" ht="85" customHeight="1">
      <x:c r="A9" s="6">
        <x:v>46290</x:v>
      </x:c>
      <x:c r="B9" s="1" t="s">
        <x:v>41</x:v>
      </x:c>
      <x:c r="C9" s="5" t="s">
        <x:v>100</x:v>
      </x:c>
      <x:c r="D9" s="5" t="s">
        <x:v>128</x:v>
      </x:c>
      <x:c r="E9" s="5" t="s">
        <x:v>109</x:v>
      </x:c>
      <x:c r="F9" s="1">
        <x:f>COUNTIFS('상세 WBS'!$B$8:$B$41,A9)</x:f>
        <x:v>5</x:v>
      </x:c>
      <x:c r="G9" s="1">
        <x:f>COUNTIFS('상세 WBS'!$B$8:$B$41,A9,'상세 WBS'!$G$8:$G$41,"완료")</x:f>
        <x:v>0</x:v>
      </x:c>
      <x:c r="H9" s="4">
        <x:f>IF(F9=0,"",G9/F9)</x:f>
        <x:v>0</x:v>
      </x:c>
    </x:row>
    <x:row r="10" spans="1:8" ht="85" customHeight="1">
      <x:c r="A10" s="6">
        <x:v>46291</x:v>
      </x:c>
      <x:c r="B10" s="1" t="s">
        <x:v>43</x:v>
      </x:c>
      <x:c r="C10" s="5" t="s">
        <x:v>26</x:v>
      </x:c>
      <x:c r="D10" s="5" t="s">
        <x:v>25</x:v>
      </x:c>
      <x:c r="E10" s="5" t="s">
        <x:v>24</x:v>
      </x:c>
      <x:c r="F10" s="1">
        <x:f>COUNTIFS('상세 WBS'!$B$8:$B$41,A10)</x:f>
        <x:v>5</x:v>
      </x:c>
      <x:c r="G10" s="1">
        <x:f>COUNTIFS('상세 WBS'!$B$8:$B$41,A10,'상세 WBS'!$G$8:$G$41,"완료")</x:f>
        <x:v>0</x:v>
      </x:c>
      <x:c r="H10" s="4">
        <x:f>IF(F10=0,"",G10/F10)</x:f>
        <x:v>0</x:v>
      </x:c>
    </x:row>
    <x:row r="11" spans="1:8" ht="85" customHeight="1">
      <x:c r="A11" s="16">
        <x:v>46292</x:v>
      </x:c>
      <x:c r="B11" s="15" t="s">
        <x:v>34</x:v>
      </x:c>
      <x:c r="C11" s="17" t="s">
        <x:v>127</x:v>
      </x:c>
      <x:c r="D11" s="17" t="s">
        <x:v>129</x:v>
      </x:c>
      <x:c r="E11" s="17" t="s">
        <x:v>184</x:v>
      </x:c>
      <x:c r="F11" s="15">
        <x:f>COUNTIFS('상세 WBS'!$B$8:$B$41,A11)</x:f>
        <x:v>5</x:v>
      </x:c>
      <x:c r="G11" s="15">
        <x:f>COUNTIFS('상세 WBS'!$B$8:$B$41,A11,'상세 WBS'!$G$8:$G$41,"완료")</x:f>
        <x:v>0</x:v>
      </x:c>
      <x:c r="H11" s="18">
        <x:f>IF(F11=0,"",G11/F11)</x:f>
        <x:v>0</x:v>
      </x:c>
    </x:row>
    <x:row r="12" spans="1:8" ht="85" customHeight="1">
      <x:c r="A12" s="19">
        <x:v>46293</x:v>
      </x:c>
      <x:c r="B12" s="20" t="s">
        <x:v>44</x:v>
      </x:c>
      <x:c r="C12" s="21" t="s">
        <x:v>130</x:v>
      </x:c>
      <x:c r="D12" s="21" t="s">
        <x:v>27</x:v>
      </x:c>
      <x:c r="E12" s="21" t="s">
        <x:v>101</x:v>
      </x:c>
      <x:c r="F12" s="20">
        <x:f>COUNTIFS('상세 WBS'!$B$8:$B$41,A12)</x:f>
        <x:v>4</x:v>
      </x:c>
      <x:c r="G12" s="20">
        <x:f>COUNTIFS('상세 WBS'!$B$8:$B$41,A12,'상세 WBS'!$G$8:$G$41,"완료")</x:f>
        <x:v>0</x:v>
      </x:c>
      <x:c r="H12" s="22">
        <x:f>IF(F12=0,"",G12/F12)</x:f>
        <x:v>0</x:v>
      </x:c>
    </x:row>
    <x:row r="13" spans="1:8" ht="85" customHeight="1">
      <x:c r="A13" s="19">
        <x:v>46294</x:v>
      </x:c>
      <x:c r="B13" s="20" t="s">
        <x:v>32</x:v>
      </x:c>
      <x:c r="C13" s="21" t="s">
        <x:v>106</x:v>
      </x:c>
      <x:c r="D13" s="21" t="s">
        <x:v>111</x:v>
      </x:c>
      <x:c r="E13" s="21" t="s">
        <x:v>110</x:v>
      </x:c>
      <x:c r="F13" s="20">
        <x:f>COUNTIFS('상세 WBS'!$B$8:$B$41,A13)</x:f>
        <x:v>5</x:v>
      </x:c>
      <x:c r="G13" s="20">
        <x:f>COUNTIFS('상세 WBS'!$B$8:$B$41,A13,'상세 WBS'!$G$8:$G$41,"완료")</x:f>
        <x:v>0</x:v>
      </x:c>
      <x:c r="H13" s="22">
        <x:f>IF(F13=0,"",G13/F13)</x:f>
        <x:v>0</x:v>
      </x:c>
    </x:row>
    <x:row r="14" spans="1:8" ht="85" customHeight="1">
      <x:c r="A14" s="6">
        <x:v>46295</x:v>
      </x:c>
      <x:c r="B14" s="1" t="s">
        <x:v>40</x:v>
      </x:c>
      <x:c r="C14" s="5" t="s">
        <x:v>178</x:v>
      </x:c>
      <x:c r="D14" s="5" t="s">
        <x:v>126</x:v>
      </x:c>
      <x:c r="E14" s="5" t="s">
        <x:v>105</x:v>
      </x:c>
      <x:c r="F14" s="1">
        <x:f>COUNTIFS('상세 WBS'!$B$8:$B$41,A14)</x:f>
        <x:v>4</x:v>
      </x:c>
      <x:c r="G14" s="1">
        <x:f>COUNTIFS('상세 WBS'!$B$8:$B$41,A14,'상세 WBS'!$G$8:$G$41,"완료")</x:f>
        <x:v>0</x:v>
      </x:c>
      <x:c r="H14" s="4">
        <x:f>IF(F14=0,"",G14/F14)</x:f>
        <x:v>0</x:v>
      </x:c>
    </x:row>
    <x:row r="15" spans="1:8" ht="26" customHeight="1">
      <x:c r="A15" s="1"/>
      <x:c r="B15" s="1"/>
      <x:c r="C15" s="1"/>
      <x:c r="D15" s="1"/>
      <x:c r="E15" s="1"/>
      <x:c r="F15" s="1"/>
      <x:c r="G15" s="1"/>
      <x:c r="H15" s="1"/>
    </x:row>
    <x:row r="16" spans="1:8" ht="26" customHeight="1">
      <x:c r="A16" s="1"/>
      <x:c r="B16" s="1"/>
      <x:c r="C16" s="1"/>
      <x:c r="D16" s="1"/>
      <x:c r="E16" s="1"/>
      <x:c r="F16" s="1"/>
      <x:c r="G16" s="1"/>
      <x:c r="H16" s="1"/>
    </x:row>
    <x:row r="17" spans="1:8" ht="26" customHeight="1">
      <x:c r="A17" s="23" t="s">
        <x:v>140</x:v>
      </x:c>
      <x:c r="B17" s="1"/>
      <x:c r="C17" s="1"/>
      <x:c r="D17" s="1"/>
      <x:c r="E17" s="1"/>
      <x:c r="F17" s="1"/>
      <x:c r="G17" s="1"/>
      <x:c r="H17" s="1"/>
    </x:row>
    <x:row r="18" spans="1:8" ht="40" customHeight="1">
      <x:c r="A18" s="1" t="s">
        <x:v>142</x:v>
      </x:c>
      <x:c r="B18" s="1"/>
      <x:c r="C18" s="24" t="s">
        <x:v>124</x:v>
      </x:c>
      <x:c r="D18" s="24"/>
      <x:c r="E18" s="24"/>
      <x:c r="F18" s="24"/>
      <x:c r="G18" s="24"/>
      <x:c r="H18" s="24"/>
    </x:row>
    <x:row r="19" spans="1:8" ht="40" customHeight="1">
      <x:c r="A19" s="1" t="s">
        <x:v>136</x:v>
      </x:c>
      <x:c r="B19" s="1"/>
      <x:c r="C19" s="24" t="s">
        <x:v>2</x:v>
      </x:c>
      <x:c r="D19" s="24"/>
      <x:c r="E19" s="24"/>
      <x:c r="F19" s="24"/>
      <x:c r="G19" s="24"/>
      <x:c r="H19" s="24"/>
    </x:row>
    <x:row r="20" spans="1:8" ht="40" customHeight="1">
      <x:c r="A20" s="1" t="s">
        <x:v>143</x:v>
      </x:c>
      <x:c r="B20" s="1"/>
      <x:c r="C20" s="24" t="s">
        <x:v>163</x:v>
      </x:c>
      <x:c r="D20" s="24"/>
      <x:c r="E20" s="24"/>
      <x:c r="F20" s="24"/>
      <x:c r="G20" s="24"/>
      <x:c r="H20" s="24"/>
    </x:row>
    <x:row r="21" spans="1:8" ht="40" customHeight="1">
      <x:c r="A21" s="1" t="s">
        <x:v>134</x:v>
      </x:c>
      <x:c r="B21" s="1"/>
      <x:c r="C21" s="24" t="s">
        <x:v>204</x:v>
      </x:c>
      <x:c r="D21" s="24"/>
      <x:c r="E21" s="24"/>
      <x:c r="F21" s="24"/>
      <x:c r="G21" s="24"/>
      <x:c r="H21" s="24"/>
    </x:row>
    <x:row r="22" spans="1:8" ht="40" customHeight="1">
      <x:c r="A22" s="1" t="s">
        <x:v>141</x:v>
      </x:c>
      <x:c r="B22" s="1"/>
      <x:c r="C22" s="24" t="s">
        <x:v>1</x:v>
      </x:c>
      <x:c r="D22" s="24"/>
      <x:c r="E22" s="24"/>
      <x:c r="F22" s="24"/>
      <x:c r="G22" s="24"/>
      <x:c r="H22" s="24"/>
    </x:row>
    <x:row r="23" spans="1:8" ht="40" customHeight="1">
      <x:c r="A23" s="1" t="s">
        <x:v>150</x:v>
      </x:c>
      <x:c r="B23" s="1"/>
      <x:c r="C23" s="24" t="s">
        <x:v>133</x:v>
      </x:c>
      <x:c r="D23" s="24"/>
      <x:c r="E23" s="24"/>
      <x:c r="F23" s="24"/>
      <x:c r="G23" s="24"/>
      <x:c r="H23" s="24"/>
    </x:row>
    <x:row r="24" spans="1:8" ht="40" customHeight="1">
      <x:c r="A24" s="1" t="s">
        <x:v>149</x:v>
      </x:c>
      <x:c r="B24" s="1"/>
      <x:c r="C24" s="24" t="s">
        <x:v>132</x:v>
      </x:c>
      <x:c r="D24" s="24"/>
      <x:c r="E24" s="24"/>
      <x:c r="F24" s="24"/>
      <x:c r="G24" s="24"/>
      <x:c r="H24" s="24"/>
    </x:row>
    <x:row r="25" spans="1:8" ht="26" customHeight="1">
      <x:c r="A25" s="1"/>
      <x:c r="B25" s="1"/>
      <x:c r="C25" s="1"/>
      <x:c r="D25" s="1"/>
      <x:c r="E25" s="1"/>
      <x:c r="F25" s="1"/>
      <x:c r="G25" s="1"/>
      <x:c r="H25" s="1"/>
    </x:row>
    <x:row r="26" spans="1:8" ht="26" customHeight="1">
      <x:c r="A26" s="1"/>
      <x:c r="B26" s="1"/>
      <x:c r="C26" s="1"/>
      <x:c r="D26" s="1"/>
      <x:c r="E26" s="1"/>
      <x:c r="F26" s="1"/>
      <x:c r="G26" s="1"/>
      <x:c r="H26" s="1"/>
    </x:row>
    <x:row r="27" spans="1:8" ht="26" customHeight="1">
      <x:c r="A27" s="23" t="s">
        <x:v>135</x:v>
      </x:c>
      <x:c r="B27" s="1"/>
      <x:c r="C27" s="1"/>
      <x:c r="D27" s="1"/>
      <x:c r="E27" s="1"/>
      <x:c r="F27" s="1"/>
      <x:c r="G27" s="1"/>
      <x:c r="H27" s="1"/>
    </x:row>
    <x:row r="28" spans="1:8" ht="32" customHeight="1">
      <x:c r="A28" s="1" t="s">
        <x:v>146</x:v>
      </x:c>
      <x:c r="B28" s="1"/>
      <x:c r="C28" s="24" t="s">
        <x:v>205</x:v>
      </x:c>
      <x:c r="D28" s="24"/>
      <x:c r="E28" s="24"/>
      <x:c r="F28" s="24"/>
      <x:c r="G28" s="24"/>
      <x:c r="H28" s="24"/>
    </x:row>
    <x:row r="29" spans="1:8" ht="32" customHeight="1">
      <x:c r="A29" s="1" t="s">
        <x:v>145</x:v>
      </x:c>
      <x:c r="B29" s="1"/>
      <x:c r="C29" s="24" t="s">
        <x:v>3</x:v>
      </x:c>
      <x:c r="D29" s="24"/>
      <x:c r="E29" s="24"/>
      <x:c r="F29" s="24"/>
      <x:c r="G29" s="24"/>
      <x:c r="H29" s="24"/>
    </x:row>
    <x:row r="30" spans="1:8" ht="32" customHeight="1">
      <x:c r="A30" s="1" t="s">
        <x:v>144</x:v>
      </x:c>
      <x:c r="B30" s="1"/>
      <x:c r="C30" s="24" t="s">
        <x:v>4</x:v>
      </x:c>
      <x:c r="D30" s="24"/>
      <x:c r="E30" s="24"/>
      <x:c r="F30" s="24"/>
      <x:c r="G30" s="24"/>
      <x:c r="H30" s="24"/>
    </x:row>
    <x:row r="31" spans="1:8" ht="32" customHeight="1">
      <x:c r="A31" s="1" t="s">
        <x:v>147</x:v>
      </x:c>
      <x:c r="B31" s="1"/>
      <x:c r="C31" s="24" t="s">
        <x:v>202</x:v>
      </x:c>
      <x:c r="D31" s="24"/>
      <x:c r="E31" s="24"/>
      <x:c r="F31" s="24"/>
      <x:c r="G31" s="24"/>
      <x:c r="H31" s="24"/>
    </x:row>
    <x:row r="32" spans="1:8" ht="32" customHeight="1">
      <x:c r="A32" s="1" t="s">
        <x:v>148</x:v>
      </x:c>
      <x:c r="B32" s="1"/>
      <x:c r="C32" s="24" t="s">
        <x:v>0</x:v>
      </x:c>
      <x:c r="D32" s="24"/>
      <x:c r="E32" s="24"/>
      <x:c r="F32" s="24"/>
      <x:c r="G32" s="24"/>
      <x:c r="H32" s="24"/>
    </x:row>
    <x:row r="33" spans="1:8" ht="26" customHeight="1">
      <x:c r="A33" s="1"/>
      <x:c r="B33" s="1"/>
      <x:c r="C33" s="1"/>
      <x:c r="D33" s="1"/>
      <x:c r="E33" s="1"/>
      <x:c r="F33" s="1"/>
      <x:c r="G33" s="1"/>
      <x:c r="H33" s="1"/>
    </x:row>
  </x:sheetData>
  <x:mergeCells count="12">
    <x:mergeCell ref="C18:H18"/>
    <x:mergeCell ref="C19:H19"/>
    <x:mergeCell ref="C20:H20"/>
    <x:mergeCell ref="C21:H21"/>
    <x:mergeCell ref="C22:H22"/>
    <x:mergeCell ref="C23:H23"/>
    <x:mergeCell ref="C24:H24"/>
    <x:mergeCell ref="C28:H28"/>
    <x:mergeCell ref="C29:H29"/>
    <x:mergeCell ref="C30:H30"/>
    <x:mergeCell ref="C31:H31"/>
    <x:mergeCell ref="C32:H32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상세 WBS</vt:lpstr>
      <vt:lpstr>일별 역할 배분</vt:lpstr>
    </vt:vector>
  </ep:TitlesOfParts>
  <ep:TotalTime>658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ms840</cp:lastModifiedBy>
  <cp:revision>3</cp:revision>
  <dcterms:created xsi:type="dcterms:W3CDTF">2026-09-22T07:09:24.104</dcterms:created>
  <dcterms:modified xsi:type="dcterms:W3CDTF">2026-09-25T12:58:42.363</dcterms:modified>
  <cp:version>1300.0100.01</cp:version>
</cp:coreProperties>
</file>